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9d8dd4096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ge Upload Template" sheetId="1" r:id="R42277a8878d449c0"/>
    <x:sheet xmlns:r="http://schemas.openxmlformats.org/officeDocument/2006/relationships" name="Instructions" sheetId="2" r:id="Rcf597f09f70f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₹ #,##0"/>
  </x:numFmts>
  <x:fonts count="4">
    <x:font>
      <x:sz val="11"/>
      <x:name val="Carlito"/>
    </x:font>
    <x:font>
      <x:b/>
      <x:sz val="14"/>
      <x:color rgb="FFE7A1"/>
      <x:name val="Carlito"/>
    </x:font>
    <x:font>
      <x:b/>
      <x:sz val="11"/>
      <x:color rgb="FFFFFF"/>
      <x:name val="Carlito"/>
    </x:font>
    <x:font>
      <x:b/>
      <x:sz val="11"/>
      <x:color rgb="FFE7A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4F2F"/>
      </x:patternFill>
    </x:fill>
    <x:fill>
      <x:patternFill patternType="solid">
        <x:fgColor rgb="146B3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b03a5a2e94b17" /><Relationship Type="http://schemas.openxmlformats.org/officeDocument/2006/relationships/theme" Target="/xl/theme/theme1.xml" Id="R88a874ef15a64864" /><Relationship Type="http://schemas.openxmlformats.org/officeDocument/2006/relationships/sharedStrings" Target="/xl/sharedStrings.xml" Id="Rf8848126e8aa40b7" /><Relationship Type="http://schemas.openxmlformats.org/officeDocument/2006/relationships/worksheet" Target="/xl/worksheets/sheet1.xml" Id="R42277a8878d449c0" /><Relationship Type="http://schemas.openxmlformats.org/officeDocument/2006/relationships/worksheet" Target="/xl/worksheets/sheet2.xml" Id="Rcf597f09f70f4c74" /></Relationships>
</file>

<file path=xl/tables/table1.xml><?xml version="1.0" encoding="utf-8"?>
<x:table xmlns:x="http://schemas.openxmlformats.org/spreadsheetml/2006/main" id="1" name="RangeWageUploadTable" displayName="RangeWageUploadTable" ref="A5:M30" headerRowCount="1">
  <x:tableColumns count="13">
    <x:tableColumn id="1" name="Office Code"/>
    <x:tableColumn id="2" name="Range"/>
    <x:tableColumn id="3" name="APO / Work ID"/>
    <x:tableColumn id="4" name="Component / Work Name"/>
    <x:tableColumn id="5" name="Worker Name"/>
    <x:tableColumn id="6" name="Worker Category"/>
    <x:tableColumn id="7" name="Days Worked"/>
    <x:tableColumn id="8" name="Wage Rate"/>
    <x:tableColumn id="9" name="Total Wage"/>
    <x:tableColumn id="10" name="Month"/>
    <x:tableColumn id="11" name="Year"/>
    <x:tableColumn id="12" name="Payment Ref / Bank Last 4"/>
    <x:tableColumn id="13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165d7e08294d6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26" hidden="0" customWidth="1"/>
    <x:col min="5" max="5" width="20" hidden="0" customWidth="1"/>
    <x:col min="6" max="6" width="18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0" hidden="0" customWidth="1"/>
    <x:col min="12" max="12" width="20" hidden="0" customWidth="1"/>
    <x:col min="13" max="13" width="26" hidden="0" customWidth="1"/>
  </x:cols>
  <x:sheetData>
    <x:row r="1" ht="24" customHeight="1">
      <x:c r="A1" s="5" t="str">
        <x:v>VanaNidhi - Range Wage Distribution Upload Template</x:v>
      </x:c>
      <x:c r="B1" t="str">
        <x:v>VanaNidhi - Range Wage Distribution Upload Template</x:v>
      </x:c>
      <x:c r="C1" t="str">
        <x:v>VanaNidhi - Range Wage Distribution Upload Template</x:v>
      </x:c>
      <x:c r="D1" t="str">
        <x:v>VanaNidhi - Range Wage Distribution Upload Template</x:v>
      </x:c>
      <x:c r="E1" t="str">
        <x:v>VanaNidhi - Range Wage Distribution Upload Template</x:v>
      </x:c>
      <x:c r="F1" t="str">
        <x:v>VanaNidhi - Range Wage Distribution Upload Template</x:v>
      </x:c>
      <x:c r="G1" t="str">
        <x:v>VanaNidhi - Range Wage Distribution Upload Template</x:v>
      </x:c>
      <x:c r="H1" t="str">
        <x:v>VanaNidhi - Range Wage Distribution Upload Template</x:v>
      </x:c>
      <x:c r="I1" t="str">
        <x:v>VanaNidhi - Range Wage Distribution Upload Template</x:v>
      </x:c>
      <x:c r="J1" t="str">
        <x:v>VanaNidhi - Range Wage Distribution Upload Template</x:v>
      </x:c>
      <x:c r="K1" t="str">
        <x:v>VanaNidhi - Range Wage Distribution Upload Template</x:v>
      </x:c>
      <x:c r="L1" t="str">
        <x:v>VanaNidhi - Range Wage Distribution Upload Template</x:v>
      </x:c>
      <x:c r="M1" t="str">
        <x:v>VanaNidhi - Range Wage Distribution Upload Template</x:v>
      </x:c>
    </x:row>
    <x:row r="2">
      <x:c r="A2" t="str">
        <x:v>Financial Year</x:v>
      </x:c>
      <x:c r="B2" t="str">
        <x:v>2026-27</x:v>
      </x:c>
      <x:c r="C2" t="str">
        <x:v>Month</x:v>
      </x:c>
      <x:c r="D2" t="str">
        <x:v>June</x:v>
      </x:c>
      <x:c r="E2" t="str">
        <x:v>Range Office</x:v>
      </x:c>
      <x:c r="F2" t="str">
        <x:v>Thaliparamba Range</x:v>
      </x:c>
      <x:c r="G2" t="str"/>
      <x:c r="H2" t="str"/>
      <x:c r="I2" t="str"/>
      <x:c r="J2" t="str"/>
      <x:c r="K2" t="str"/>
      <x:c r="L2" t="str"/>
      <x:c r="M2" t="str"/>
    </x:row>
    <x:row r="3">
      <x:c r="A3" t="str">
        <x:v>Use this sheet to upload daily wage distribution entries. Do not change header names.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</x:row>
    <x:row r="5" ht="34" customHeight="1">
      <x:c r="A5" s="14" t="str">
        <x:v>Office Code</x:v>
      </x:c>
      <x:c r="B5" s="14" t="str">
        <x:v>Range</x:v>
      </x:c>
      <x:c r="C5" s="14" t="str">
        <x:v>APO / Work ID</x:v>
      </x:c>
      <x:c r="D5" s="14" t="str">
        <x:v>Component / Work Name</x:v>
      </x:c>
      <x:c r="E5" s="14" t="str">
        <x:v>Worker Name</x:v>
      </x:c>
      <x:c r="F5" s="14" t="str">
        <x:v>Worker Category</x:v>
      </x:c>
      <x:c r="G5" s="14" t="str">
        <x:v>Days Worked</x:v>
      </x:c>
      <x:c r="H5" s="14" t="str">
        <x:v>Wage Rate</x:v>
      </x:c>
      <x:c r="I5" s="14" t="str">
        <x:v>Total Wage</x:v>
      </x:c>
      <x:c r="J5" s="14" t="str">
        <x:v>Month</x:v>
      </x:c>
      <x:c r="K5" s="14" t="str">
        <x:v>Year</x:v>
      </x:c>
      <x:c r="L5" s="14" t="str">
        <x:v>Payment Ref / Bank Last 4</x:v>
      </x:c>
      <x:c r="M5" s="14" t="str">
        <x:v>Remarks</x:v>
      </x:c>
    </x:row>
    <x:row r="6">
      <x:c r="A6" s="20" t="str">
        <x:v>KFD-RNG-001</x:v>
      </x:c>
      <x:c r="B6" s="20" t="str">
        <x:v>Thaliparamba</x:v>
      </x:c>
      <x:c r="C6" s="20" t="str">
        <x:v>APO-R-014</x:v>
      </x:c>
      <x:c r="D6" s="20" t="str">
        <x:v>Anti-poaching camp support</x:v>
      </x:c>
      <x:c r="E6" s="20" t="str">
        <x:v>Balan K</x:v>
      </x:c>
      <x:c r="F6" s="20" t="str">
        <x:v>Watcher</x:v>
      </x:c>
      <x:c r="G6" s="22" t="n">
        <x:v>18</x:v>
      </x:c>
      <x:c r="H6" s="24" t="n">
        <x:v>850</x:v>
      </x:c>
      <x:c r="I6" s="24" t="n">
        <x:f>G6*H6</x:f>
        <x:v>15300</x:v>
      </x:c>
      <x:c r="J6" s="20" t="str">
        <x:v>June</x:v>
      </x:c>
      <x:c r="K6" s="22" t="n">
        <x:v>2026</x:v>
      </x:c>
      <x:c r="L6" s="20" t="str">
        <x:v>4921</x:v>
      </x:c>
      <x:c r="M6" s="20" t="str">
        <x:v>Camp duty wages</x:v>
      </x:c>
    </x:row>
    <x:row r="7">
      <x:c r="A7" s="20" t="str">
        <x:v>KFD-RNG-001</x:v>
      </x:c>
      <x:c r="B7" s="20" t="str">
        <x:v>Thaliparamba</x:v>
      </x:c>
      <x:c r="C7" s="20" t="str">
        <x:v>APO-R-014</x:v>
      </x:c>
      <x:c r="D7" s="20" t="str">
        <x:v>Anti-poaching camp support</x:v>
      </x:c>
      <x:c r="E7" s="20" t="str">
        <x:v>Mini P</x:v>
      </x:c>
      <x:c r="F7" s="20" t="str">
        <x:v>Watcher</x:v>
      </x:c>
      <x:c r="G7" s="22" t="n">
        <x:v>12</x:v>
      </x:c>
      <x:c r="H7" s="24" t="n">
        <x:v>850</x:v>
      </x:c>
      <x:c r="I7" s="24" t="n">
        <x:f>G7*H7</x:f>
        <x:v>10200</x:v>
      </x:c>
      <x:c r="J7" s="20" t="str">
        <x:v>June</x:v>
      </x:c>
      <x:c r="K7" s="22" t="n">
        <x:v>2026</x:v>
      </x:c>
      <x:c r="L7" s="20" t="str">
        <x:v>1028</x:v>
      </x:c>
      <x:c r="M7" s="20" t="str">
        <x:v>Patrol support</x:v>
      </x:c>
    </x:row>
    <x:row r="8">
      <x:c r="A8" s="20" t="str">
        <x:v>KFD-RNG-001</x:v>
      </x:c>
      <x:c r="B8" s="20" t="str">
        <x:v>Thaliparamba</x:v>
      </x:c>
      <x:c r="C8" s="20" t="str">
        <x:v>APO-R-021</x:v>
      </x:c>
      <x:c r="D8" s="20" t="str">
        <x:v>Fire line maintenance</x:v>
      </x:c>
      <x:c r="E8" s="20" t="str">
        <x:v>Rajesh M</x:v>
      </x:c>
      <x:c r="F8" s="20" t="str">
        <x:v>Fire Watcher</x:v>
      </x:c>
      <x:c r="G8" s="22" t="n">
        <x:v>16</x:v>
      </x:c>
      <x:c r="H8" s="24" t="n">
        <x:v>900</x:v>
      </x:c>
      <x:c r="I8" s="24" t="n">
        <x:f>G8*H8</x:f>
        <x:v>14400</x:v>
      </x:c>
      <x:c r="J8" s="20" t="str">
        <x:v>June</x:v>
      </x:c>
      <x:c r="K8" s="22" t="n">
        <x:v>2026</x:v>
      </x:c>
      <x:c r="L8" s="20" t="str">
        <x:v>8842</x:v>
      </x:c>
      <x:c r="M8" s="20" t="str">
        <x:v>Fire line work</x:v>
      </x:c>
    </x:row>
    <x:row r="9">
      <x:c r="A9" s="20" t="str">
        <x:v>KFD-RNG-001</x:v>
      </x:c>
      <x:c r="B9" s="20" t="str">
        <x:v>Thaliparamba</x:v>
      </x:c>
      <x:c r="C9" s="20" t="str">
        <x:v>APO-R-021</x:v>
      </x:c>
      <x:c r="D9" s="20" t="str">
        <x:v>Fire line maintenance</x:v>
      </x:c>
      <x:c r="E9" s="20" t="str">
        <x:v>Sajitha V</x:v>
      </x:c>
      <x:c r="F9" s="20" t="str">
        <x:v>Labourer</x:v>
      </x:c>
      <x:c r="G9" s="22" t="n">
        <x:v>10</x:v>
      </x:c>
      <x:c r="H9" s="24" t="n">
        <x:v>750</x:v>
      </x:c>
      <x:c r="I9" s="24" t="n">
        <x:f>G9*H9</x:f>
        <x:v>7500</x:v>
      </x:c>
      <x:c r="J9" s="20" t="str">
        <x:v>June</x:v>
      </x:c>
      <x:c r="K9" s="22" t="n">
        <x:v>2026</x:v>
      </x:c>
      <x:c r="L9" s="20" t="str">
        <x:v>3201</x:v>
      </x:c>
      <x:c r="M9" s="20" t="str">
        <x:v>Clearing work</x:v>
      </x:c>
    </x:row>
    <x:row r="10">
      <x:c r="A10" s="20" t="str">
        <x:v>KFD-RNG-001</x:v>
      </x:c>
      <x:c r="B10" s="20" t="str">
        <x:v>Thaliparamba</x:v>
      </x:c>
      <x:c r="C10" s="20" t="str">
        <x:v>APO-R-019</x:v>
      </x:c>
      <x:c r="D10" s="20" t="str">
        <x:v>Watch tower repair</x:v>
      </x:c>
      <x:c r="E10" s="20" t="str">
        <x:v>Unnikrishnan N</x:v>
      </x:c>
      <x:c r="F10" s="20" t="str">
        <x:v>Skilled Labour</x:v>
      </x:c>
      <x:c r="G10" s="22" t="n">
        <x:v>8</x:v>
      </x:c>
      <x:c r="H10" s="24" t="n">
        <x:v>1100</x:v>
      </x:c>
      <x:c r="I10" s="24" t="n">
        <x:f>G10*H10</x:f>
        <x:v>8800</x:v>
      </x:c>
      <x:c r="J10" s="20" t="str">
        <x:v>June</x:v>
      </x:c>
      <x:c r="K10" s="22" t="n">
        <x:v>2026</x:v>
      </x:c>
      <x:c r="L10" s="20" t="str">
        <x:v>6620</x:v>
      </x:c>
      <x:c r="M10" s="20" t="str">
        <x:v>Repair support</x:v>
      </x:c>
    </x:row>
    <x:row r="11">
      <x:c r="A11" s="20" t="str">
        <x:v>KFD-RNG-001</x:v>
      </x:c>
      <x:c r="B11" s="20" t="str">
        <x:v>Thaliparamba</x:v>
      </x:c>
      <x:c r="C11" s="20" t="str">
        <x:v>APO-R-019</x:v>
      </x:c>
      <x:c r="D11" s="20" t="str">
        <x:v>Watch tower repair</x:v>
      </x:c>
      <x:c r="E11" s="20" t="str">
        <x:v>Shibu K</x:v>
      </x:c>
      <x:c r="F11" s="20" t="str">
        <x:v>Mason</x:v>
      </x:c>
      <x:c r="G11" s="22" t="n">
        <x:v>6</x:v>
      </x:c>
      <x:c r="H11" s="24" t="n">
        <x:v>1200</x:v>
      </x:c>
      <x:c r="I11" s="24" t="n">
        <x:f>G11*H11</x:f>
        <x:v>7200</x:v>
      </x:c>
      <x:c r="J11" s="20" t="str">
        <x:v>June</x:v>
      </x:c>
      <x:c r="K11" s="22" t="n">
        <x:v>2026</x:v>
      </x:c>
      <x:c r="L11" s="20" t="str">
        <x:v>4537</x:v>
      </x:c>
      <x:c r="M11" s="20" t="str">
        <x:v>Masonry work</x:v>
      </x:c>
    </x:row>
    <x:row r="12">
      <x:c r="A12" s="20" t="str">
        <x:v>KFD-RNG-001</x:v>
      </x:c>
      <x:c r="B12" s="20" t="str">
        <x:v>Thaliparamba</x:v>
      </x:c>
      <x:c r="C12" s="20" t="str">
        <x:v>APO-R-027</x:v>
      </x:c>
      <x:c r="D12" s="20" t="str">
        <x:v>Boundary patrol</x:v>
      </x:c>
      <x:c r="E12" s="20" t="str">
        <x:v>Leela P</x:v>
      </x:c>
      <x:c r="F12" s="20" t="str">
        <x:v>Watcher</x:v>
      </x:c>
      <x:c r="G12" s="22" t="n">
        <x:v>14</x:v>
      </x:c>
      <x:c r="H12" s="24" t="n">
        <x:v>850</x:v>
      </x:c>
      <x:c r="I12" s="24" t="n">
        <x:f>G12*H12</x:f>
        <x:v>11900</x:v>
      </x:c>
      <x:c r="J12" s="20" t="str">
        <x:v>June</x:v>
      </x:c>
      <x:c r="K12" s="22" t="n">
        <x:v>2026</x:v>
      </x:c>
      <x:c r="L12" s="20" t="str">
        <x:v>2048</x:v>
      </x:c>
      <x:c r="M12" s="20" t="str">
        <x:v>Patrol duty</x:v>
      </x:c>
    </x:row>
    <x:row r="13">
      <x:c r="A13" s="20" t="str">
        <x:v>KFD-RNG-001</x:v>
      </x:c>
      <x:c r="B13" s="20" t="str">
        <x:v>Thaliparamba</x:v>
      </x:c>
      <x:c r="C13" s="20" t="str">
        <x:v>APO-R-027</x:v>
      </x:c>
      <x:c r="D13" s="20" t="str">
        <x:v>Boundary patrol</x:v>
      </x:c>
      <x:c r="E13" s="20" t="str">
        <x:v>Haridas T</x:v>
      </x:c>
      <x:c r="F13" s="20" t="str">
        <x:v>Watcher</x:v>
      </x:c>
      <x:c r="G13" s="22" t="n">
        <x:v>14</x:v>
      </x:c>
      <x:c r="H13" s="24" t="n">
        <x:v>850</x:v>
      </x:c>
      <x:c r="I13" s="24" t="n">
        <x:f>G13*H13</x:f>
        <x:v>11900</x:v>
      </x:c>
      <x:c r="J13" s="20" t="str">
        <x:v>June</x:v>
      </x:c>
      <x:c r="K13" s="22" t="n">
        <x:v>2026</x:v>
      </x:c>
      <x:c r="L13" s="20" t="str">
        <x:v>7788</x:v>
      </x:c>
      <x:c r="M13" s="20" t="str">
        <x:v>Patrol duty</x:v>
      </x:c>
    </x:row>
    <x:row r="14">
      <x:c r="A14" s="20" t="str">
        <x:v>KFD-RNG-001</x:v>
      </x:c>
      <x:c r="B14" s="20" t="str">
        <x:v>Thaliparamba</x:v>
      </x:c>
      <x:c r="C14" s="20" t="str">
        <x:v>APO-R-033</x:v>
      </x:c>
      <x:c r="D14" s="20" t="str">
        <x:v>Nursery maintenance</x:v>
      </x:c>
      <x:c r="E14" s="20" t="str">
        <x:v>Bindu R</x:v>
      </x:c>
      <x:c r="F14" s="20" t="str">
        <x:v>Labourer</x:v>
      </x:c>
      <x:c r="G14" s="22" t="n">
        <x:v>9</x:v>
      </x:c>
      <x:c r="H14" s="24" t="n">
        <x:v>750</x:v>
      </x:c>
      <x:c r="I14" s="24" t="n">
        <x:f>G14*H14</x:f>
        <x:v>6750</x:v>
      </x:c>
      <x:c r="J14" s="20" t="str">
        <x:v>June</x:v>
      </x:c>
      <x:c r="K14" s="22" t="n">
        <x:v>2026</x:v>
      </x:c>
      <x:c r="L14" s="20" t="str">
        <x:v>4512</x:v>
      </x:c>
      <x:c r="M14" s="20" t="str">
        <x:v>Nursery support</x:v>
      </x:c>
    </x:row>
    <x:row r="15">
      <x:c r="A15" s="20" t="str">
        <x:v>KFD-RNG-001</x:v>
      </x:c>
      <x:c r="B15" s="20" t="str">
        <x:v>Thaliparamba</x:v>
      </x:c>
      <x:c r="C15" s="20" t="str">
        <x:v>APO-R-033</x:v>
      </x:c>
      <x:c r="D15" s="20" t="str">
        <x:v>Nursery maintenance</x:v>
      </x:c>
      <x:c r="E15" s="20" t="str">
        <x:v>Anoop C</x:v>
      </x:c>
      <x:c r="F15" s="20" t="str">
        <x:v>Labourer</x:v>
      </x:c>
      <x:c r="G15" s="22" t="n">
        <x:v>9</x:v>
      </x:c>
      <x:c r="H15" s="24" t="n">
        <x:v>750</x:v>
      </x:c>
      <x:c r="I15" s="24" t="n">
        <x:f>G15*H15</x:f>
        <x:v>6750</x:v>
      </x:c>
      <x:c r="J15" s="20" t="str">
        <x:v>June</x:v>
      </x:c>
      <x:c r="K15" s="22" t="n">
        <x:v>2026</x:v>
      </x:c>
      <x:c r="L15" s="20" t="str">
        <x:v>1180</x:v>
      </x:c>
      <x:c r="M15" s="20" t="str">
        <x:v>Nursery support</x:v>
      </x:c>
    </x:row>
    <x:row r="16">
      <x:c r="A16" s="20" t="str"/>
      <x:c r="B16" s="20" t="str"/>
      <x:c r="C16" s="20" t="str"/>
      <x:c r="D16" s="20" t="str"/>
      <x:c r="E16" s="20" t="str"/>
      <x:c r="F16" s="20" t="str"/>
      <x:c r="G16" s="22"/>
      <x:c r="H16" s="24"/>
      <x:c r="I16" s="24" t="str">
        <x:f>IF(OR(G16="",H16=""),"",G16*H16)</x:f>
      </x:c>
      <x:c r="J16" s="20" t="str"/>
      <x:c r="K16" s="22"/>
      <x:c r="L16" s="20" t="str"/>
      <x:c r="M16" s="20" t="str"/>
    </x:row>
    <x:row r="17">
      <x:c r="A17" s="20" t="str"/>
      <x:c r="B17" s="20" t="str"/>
      <x:c r="C17" s="20" t="str"/>
      <x:c r="D17" s="20" t="str"/>
      <x:c r="E17" s="20" t="str"/>
      <x:c r="F17" s="20" t="str"/>
      <x:c r="G17" s="22"/>
      <x:c r="H17" s="24"/>
      <x:c r="I17" s="24" t="str">
        <x:f>IF(OR(G17="",H17=""),"",G17*H17)</x:f>
      </x:c>
      <x:c r="J17" s="20" t="str"/>
      <x:c r="K17" s="22"/>
      <x:c r="L17" s="20" t="str"/>
      <x:c r="M17" s="20" t="str"/>
    </x:row>
    <x:row r="18">
      <x:c r="A18" s="20" t="str"/>
      <x:c r="B18" s="20" t="str"/>
      <x:c r="C18" s="20" t="str"/>
      <x:c r="D18" s="20" t="str"/>
      <x:c r="E18" s="20" t="str"/>
      <x:c r="F18" s="20" t="str"/>
      <x:c r="G18" s="22"/>
      <x:c r="H18" s="24"/>
      <x:c r="I18" s="24" t="str">
        <x:f>IF(OR(G18="",H18=""),"",G18*H18)</x:f>
      </x:c>
      <x:c r="J18" s="20" t="str"/>
      <x:c r="K18" s="22"/>
      <x:c r="L18" s="20" t="str"/>
      <x:c r="M18" s="20" t="str"/>
    </x:row>
    <x:row r="19">
      <x:c r="A19" s="20" t="str"/>
      <x:c r="B19" s="20" t="str"/>
      <x:c r="C19" s="20" t="str"/>
      <x:c r="D19" s="20" t="str"/>
      <x:c r="E19" s="20" t="str"/>
      <x:c r="F19" s="20" t="str"/>
      <x:c r="G19" s="22"/>
      <x:c r="H19" s="24"/>
      <x:c r="I19" s="24" t="str">
        <x:f>IF(OR(G19="",H19=""),"",G19*H19)</x:f>
      </x:c>
      <x:c r="J19" s="20" t="str"/>
      <x:c r="K19" s="22"/>
      <x:c r="L19" s="20" t="str"/>
      <x:c r="M19" s="20" t="str"/>
    </x:row>
    <x:row r="20">
      <x:c r="A20" s="20" t="str"/>
      <x:c r="B20" s="20" t="str"/>
      <x:c r="C20" s="20" t="str"/>
      <x:c r="D20" s="20" t="str"/>
      <x:c r="E20" s="20" t="str"/>
      <x:c r="F20" s="20" t="str"/>
      <x:c r="G20" s="22"/>
      <x:c r="H20" s="24"/>
      <x:c r="I20" s="24" t="str">
        <x:f>IF(OR(G20="",H20=""),"",G20*H20)</x:f>
      </x:c>
      <x:c r="J20" s="20" t="str"/>
      <x:c r="K20" s="22"/>
      <x:c r="L20" s="20" t="str"/>
      <x:c r="M20" s="20" t="str"/>
    </x:row>
    <x:row r="21">
      <x:c r="A21" s="20" t="str"/>
      <x:c r="B21" s="20" t="str"/>
      <x:c r="C21" s="20" t="str"/>
      <x:c r="D21" s="20" t="str"/>
      <x:c r="E21" s="20" t="str"/>
      <x:c r="F21" s="20" t="str"/>
      <x:c r="G21" s="22"/>
      <x:c r="H21" s="24"/>
      <x:c r="I21" s="24" t="str">
        <x:f>IF(OR(G21="",H21=""),"",G21*H21)</x:f>
      </x:c>
      <x:c r="J21" s="20" t="str"/>
      <x:c r="K21" s="22"/>
      <x:c r="L21" s="20" t="str"/>
      <x:c r="M21" s="20" t="str"/>
    </x:row>
    <x:row r="22">
      <x:c r="A22" s="20" t="str"/>
      <x:c r="B22" s="20" t="str"/>
      <x:c r="C22" s="20" t="str"/>
      <x:c r="D22" s="20" t="str"/>
      <x:c r="E22" s="20" t="str"/>
      <x:c r="F22" s="20" t="str"/>
      <x:c r="G22" s="22"/>
      <x:c r="H22" s="24"/>
      <x:c r="I22" s="24" t="str">
        <x:f>IF(OR(G22="",H22=""),"",G22*H22)</x:f>
      </x:c>
      <x:c r="J22" s="20" t="str"/>
      <x:c r="K22" s="22"/>
      <x:c r="L22" s="20" t="str"/>
      <x:c r="M22" s="20" t="str"/>
    </x:row>
    <x:row r="23">
      <x:c r="A23" s="20" t="str"/>
      <x:c r="B23" s="20" t="str"/>
      <x:c r="C23" s="20" t="str"/>
      <x:c r="D23" s="20" t="str"/>
      <x:c r="E23" s="20" t="str"/>
      <x:c r="F23" s="20" t="str"/>
      <x:c r="G23" s="22"/>
      <x:c r="H23" s="24"/>
      <x:c r="I23" s="24" t="str">
        <x:f>IF(OR(G23="",H23=""),"",G23*H23)</x:f>
      </x:c>
      <x:c r="J23" s="20" t="str"/>
      <x:c r="K23" s="22"/>
      <x:c r="L23" s="20" t="str"/>
      <x:c r="M23" s="20" t="str"/>
    </x:row>
    <x:row r="24">
      <x:c r="A24" s="20" t="str"/>
      <x:c r="B24" s="20" t="str"/>
      <x:c r="C24" s="20" t="str"/>
      <x:c r="D24" s="20" t="str"/>
      <x:c r="E24" s="20" t="str"/>
      <x:c r="F24" s="20" t="str"/>
      <x:c r="G24" s="22"/>
      <x:c r="H24" s="24"/>
      <x:c r="I24" s="24" t="str">
        <x:f>IF(OR(G24="",H24=""),"",G24*H24)</x:f>
      </x:c>
      <x:c r="J24" s="20" t="str"/>
      <x:c r="K24" s="22"/>
      <x:c r="L24" s="20" t="str"/>
      <x:c r="M24" s="20" t="str"/>
    </x:row>
    <x:row r="25">
      <x:c r="A25" s="20" t="str"/>
      <x:c r="B25" s="20" t="str"/>
      <x:c r="C25" s="20" t="str"/>
      <x:c r="D25" s="20" t="str"/>
      <x:c r="E25" s="20" t="str"/>
      <x:c r="F25" s="20" t="str"/>
      <x:c r="G25" s="22"/>
      <x:c r="H25" s="24"/>
      <x:c r="I25" s="24" t="str">
        <x:f>IF(OR(G25="",H25=""),"",G25*H25)</x:f>
      </x:c>
      <x:c r="J25" s="20" t="str"/>
      <x:c r="K25" s="22"/>
      <x:c r="L25" s="20" t="str"/>
      <x:c r="M25" s="20" t="str"/>
    </x:row>
    <x:row r="26">
      <x:c r="A26" s="20" t="str"/>
      <x:c r="B26" s="20" t="str"/>
      <x:c r="C26" s="20" t="str"/>
      <x:c r="D26" s="20" t="str"/>
      <x:c r="E26" s="20" t="str"/>
      <x:c r="F26" s="20" t="str"/>
      <x:c r="G26" s="22"/>
      <x:c r="H26" s="24"/>
      <x:c r="I26" s="24" t="str">
        <x:f>IF(OR(G26="",H26=""),"",G26*H26)</x:f>
      </x:c>
      <x:c r="J26" s="20" t="str"/>
      <x:c r="K26" s="22"/>
      <x:c r="L26" s="20" t="str"/>
      <x:c r="M26" s="20" t="str"/>
    </x:row>
    <x:row r="27">
      <x:c r="A27" s="20" t="str"/>
      <x:c r="B27" s="20" t="str"/>
      <x:c r="C27" s="20" t="str"/>
      <x:c r="D27" s="20" t="str"/>
      <x:c r="E27" s="20" t="str"/>
      <x:c r="F27" s="20" t="str"/>
      <x:c r="G27" s="22"/>
      <x:c r="H27" s="24"/>
      <x:c r="I27" s="24" t="str">
        <x:f>IF(OR(G27="",H27=""),"",G27*H27)</x:f>
      </x:c>
      <x:c r="J27" s="20" t="str"/>
      <x:c r="K27" s="22"/>
      <x:c r="L27" s="20" t="str"/>
      <x:c r="M27" s="20" t="str"/>
    </x:row>
    <x:row r="28">
      <x:c r="A28" s="20" t="str"/>
      <x:c r="B28" s="20" t="str"/>
      <x:c r="C28" s="20" t="str"/>
      <x:c r="D28" s="20" t="str"/>
      <x:c r="E28" s="20" t="str"/>
      <x:c r="F28" s="20" t="str"/>
      <x:c r="G28" s="22"/>
      <x:c r="H28" s="24"/>
      <x:c r="I28" s="24" t="str">
        <x:f>IF(OR(G28="",H28=""),"",G28*H28)</x:f>
      </x:c>
      <x:c r="J28" s="20" t="str"/>
      <x:c r="K28" s="22"/>
      <x:c r="L28" s="20" t="str"/>
      <x:c r="M28" s="20" t="str"/>
    </x:row>
    <x:row r="29">
      <x:c r="A29" s="20" t="str"/>
      <x:c r="B29" s="20" t="str"/>
      <x:c r="C29" s="20" t="str"/>
      <x:c r="D29" s="20" t="str"/>
      <x:c r="E29" s="20" t="str"/>
      <x:c r="F29" s="20" t="str"/>
      <x:c r="G29" s="22"/>
      <x:c r="H29" s="24"/>
      <x:c r="I29" s="24" t="str">
        <x:f>IF(OR(G29="",H29=""),"",G29*H29)</x:f>
      </x:c>
      <x:c r="J29" s="20" t="str"/>
      <x:c r="K29" s="22"/>
      <x:c r="L29" s="20" t="str"/>
      <x:c r="M29" s="20" t="str"/>
    </x:row>
    <x:row r="30">
      <x:c r="A30" s="20" t="str"/>
      <x:c r="B30" s="20" t="str"/>
      <x:c r="C30" s="20" t="str"/>
      <x:c r="D30" s="20" t="str"/>
      <x:c r="E30" s="20" t="str"/>
      <x:c r="F30" s="20" t="str"/>
      <x:c r="G30" s="22"/>
      <x:c r="H30" s="24"/>
      <x:c r="I30" s="24" t="str">
        <x:f>IF(OR(G30="",H30=""),"",G30*H30)</x:f>
      </x:c>
      <x:c r="J30" s="20" t="str"/>
      <x:c r="K30" s="22"/>
      <x:c r="L30" s="20" t="str"/>
      <x:c r="M30" s="20" t="str"/>
    </x:row>
    <x:row r="32">
      <x:c r="A32" s="26" t="str">
        <x:v>Summary</x:v>
      </x:c>
      <x:c r="B32" s="26" t="str"/>
      <x:c r="C32" s="26" t="str"/>
      <x:c r="D32" s="26" t="str"/>
    </x:row>
    <x:row r="33">
      <x:c r="A33" t="str">
        <x:v>Total Workers</x:v>
      </x:c>
      <x:c r="B33" t="n">
        <x:f>COUNTA(E6:E30)</x:f>
        <x:v>25</x:v>
      </x:c>
      <x:c r="C33" t="str"/>
      <x:c r="D33" t="str"/>
    </x:row>
    <x:row r="34">
      <x:c r="A34" t="str">
        <x:v>Total Days</x:v>
      </x:c>
      <x:c r="B34" s="28" t="n">
        <x:f>SUM(G6:G30)</x:f>
        <x:v>116</x:v>
      </x:c>
      <x:c r="C34" t="str"/>
      <x:c r="D34" t="str"/>
    </x:row>
    <x:row r="35">
      <x:c r="A35" t="str">
        <x:v>Total Wage</x:v>
      </x:c>
      <x:c r="B35" s="28" t="n">
        <x:f>SUM(I6:I30)</x:f>
        <x:v>100700</x:v>
      </x:c>
      <x:c r="C35" t="str"/>
      <x:c r="D35" t="str"/>
    </x:row>
  </x:sheetData>
  <x:mergeCells>
    <x:mergeCell ref="A1:M1"/>
  </x:mergeCells>
  <x:dataValidations count="3">
    <x:dataValidation type="list" sqref="F6:F30">
      <x:formula1>"Watcher,Fire Watcher,Labourer,Skilled Labour,Mason,Driver,Other"</x:formula1>
    </x:dataValidation>
    <x:dataValidation type="list" sqref="J6:J30">
      <x:formula1>"April,May,June,July,August,September,October,November,December,January,February,March"</x:formula1>
    </x:dataValidation>
    <x:dataValidation type="list" sqref="K6:K30">
      <x:formula1>"2026,2025,2024"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165d7e08294d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0" hidden="0" customWidth="1"/>
    <x:col min="3" max="3" width="14" hidden="0" customWidth="1"/>
    <x:col min="4" max="4" width="45" hidden="0" customWidth="1"/>
  </x:cols>
  <x:sheetData>
    <x:row r="1">
      <x:c r="A1" s="4" t="str">
        <x:v>VanaNidhi Wage Upload Instructions</x:v>
      </x:c>
      <x:c r="B1" t="str"/>
      <x:c r="C1" t="str"/>
      <x:c r="D1" t="str"/>
      <x:c r="E1" t="str"/>
      <x:c r="F1" t="str"/>
    </x:row>
    <x:row r="3">
      <x:c r="A3" s="12" t="str">
        <x:v>Step</x:v>
      </x:c>
      <x:c r="B3" s="12" t="str">
        <x:v>Instruction</x:v>
      </x:c>
      <x:c r="C3" s="12" t="str">
        <x:v>Required?</x:v>
      </x:c>
      <x:c r="D3" s="12" t="str">
        <x:v>Notes</x:v>
      </x:c>
      <x:c r="E3" t="str"/>
      <x:c r="F3" t="str"/>
    </x:row>
    <x:row r="4">
      <x:c r="A4" s="20" t="str">
        <x:v>1</x:v>
      </x:c>
      <x:c r="B4" s="20" t="str">
        <x:v>Fill Office Code, Range, APO / Work ID and Component / Work Name.</x:v>
      </x:c>
      <x:c r="C4" s="20" t="str">
        <x:v>Yes</x:v>
      </x:c>
      <x:c r="D4" s="20" t="str">
        <x:v>Use approved APO / allocation reference.</x:v>
      </x:c>
      <x:c r="E4" t="str"/>
      <x:c r="F4" t="str"/>
    </x:row>
    <x:row r="5">
      <x:c r="A5" s="20" t="str">
        <x:v>2</x:v>
      </x:c>
      <x:c r="B5" s="20" t="str">
        <x:v>Enter Worker Name and Worker Category.</x:v>
      </x:c>
      <x:c r="C5" s="20" t="str">
        <x:v>Yes</x:v>
      </x:c>
      <x:c r="D5" s="20" t="str">
        <x:v>Choose from the dropdown where available.</x:v>
      </x:c>
      <x:c r="E5" t="str"/>
      <x:c r="F5" t="str"/>
    </x:row>
    <x:row r="6">
      <x:c r="A6" s="20" t="str">
        <x:v>3</x:v>
      </x:c>
      <x:c r="B6" s="20" t="str">
        <x:v>Enter Days Worked and Wage Rate.</x:v>
      </x:c>
      <x:c r="C6" s="20" t="str">
        <x:v>Yes</x:v>
      </x:c>
      <x:c r="D6" s="20" t="str">
        <x:v>Total Wage is calculated automatically.</x:v>
      </x:c>
      <x:c r="E6" t="str"/>
      <x:c r="F6" t="str"/>
    </x:row>
    <x:row r="7">
      <x:c r="A7" s="20" t="str">
        <x:v>4</x:v>
      </x:c>
      <x:c r="B7" s="20" t="str">
        <x:v>Enter Month and Year.</x:v>
      </x:c>
      <x:c r="C7" s="20" t="str">
        <x:v>Yes</x:v>
      </x:c>
      <x:c r="D7" s="20" t="str">
        <x:v>Month/year should match upload period selected in the portal.</x:v>
      </x:c>
      <x:c r="E7" t="str"/>
      <x:c r="F7" t="str"/>
    </x:row>
    <x:row r="8">
      <x:c r="A8" s="20" t="str">
        <x:v>5</x:v>
      </x:c>
      <x:c r="B8" s="20" t="str">
        <x:v>Payment Ref / Bank Last 4 and Remarks are optional but recommended.</x:v>
      </x:c>
      <x:c r="C8" s="20" t="str">
        <x:v>Optional</x:v>
      </x:c>
      <x:c r="D8" s="20" t="str">
        <x:v>Helpful for audit trail.</x:v>
      </x:c>
      <x:c r="E8" t="str"/>
      <x:c r="F8" t="str"/>
    </x:row>
    <x:row r="9">
      <x:c r="A9" s="20" t="str">
        <x:v>6</x:v>
      </x:c>
      <x:c r="B9" s="20" t="str">
        <x:v>Upload this .xlsx file in range-wages.html and preview before submit.</x:v>
      </x:c>
      <x:c r="C9" s="20" t="str">
        <x:v>Yes</x:v>
      </x:c>
      <x:c r="D9" s="20" t="str">
        <x:v>Submit only after verifying preview totals.</x:v>
      </x:c>
      <x:c r="E9" t="str"/>
      <x:c r="F9" t="str"/>
    </x:row>
  </x:sheetData>
  <x:mergeCells>
    <x:mergeCell ref="A1:F1"/>
  </x:mergeCells>
  <x:pageMargins left="0.7" right="0.7" top="0.75" bottom="0.75" header="0.3" footer="0.3"/>
</x:worksheet>
</file>